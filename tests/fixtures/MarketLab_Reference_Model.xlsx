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01730b1f9c45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03a62d142fb47be"/>
    <x:sheet xmlns:r="http://schemas.openxmlformats.org/officeDocument/2006/relationships" name="Scenarios" sheetId="2" r:id="R1fb9941cba964193"/>
    <x:sheet xmlns:r="http://schemas.openxmlformats.org/officeDocument/2006/relationships" name="Model" sheetId="3" r:id="R0e830dc4d2c1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&quot;%&quot;"/>
    <x:numFmt numFmtId="201" formatCode="0.00%"/>
    <x:numFmt numFmtId="202" formatCode="&quot;$&quot;#,##0.00"/>
    <x:numFmt numFmtId="203" formatCode="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1"/>
      <x:color rgb="FF53616B"/>
      <x:name val="Carlito"/>
    </x:font>
    <x:font>
      <x:sz val="11"/>
      <x:color rgb="FF0057B8"/>
      <x:name val="Carlito"/>
    </x:font>
    <x:font>
      <x:sz val="11"/>
      <x:color rgb="FF17324D"/>
      <x:name val="Carlito"/>
    </x:font>
    <x:font>
      <x:sz val="11"/>
      <x:color rgb="FF53616B"/>
      <x:name val="Carlito"/>
    </x:font>
    <x:font>
      <x:b/>
      <x:sz val="11"/>
      <x:color rgb="FF17324D"/>
      <x:name val="Carlito"/>
    </x:font>
    <x:font>
      <x:i/>
      <x:sz val="11"/>
      <x:color rgb="FF77551C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87F78"/>
      </x:patternFill>
    </x:fill>
    <x:fill>
      <x:patternFill patternType="solid">
        <x:fgColor rgb="FFF2F7FF"/>
      </x:patternFill>
    </x:fill>
    <x:fill>
      <x:patternFill patternType="solid">
        <x:fgColor rgb="FFEAF4F2"/>
      </x:patternFill>
    </x:fill>
    <x:fill>
      <x:patternFill patternType="solid">
        <x:fgColor rgb="FFFFF5DF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3" fontId="6" fillId="0" borderId="0" xfId="0" applyNumberFormat="1" applyFont="1" applyFill="1" applyBorder="1"/>
    <x:xf numFmtId="203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e4ecdc8a1641f9" /><Relationship Type="http://schemas.openxmlformats.org/officeDocument/2006/relationships/theme" Target="/xl/theme/theme1.xml" Id="R28e6337a025a425e" /><Relationship Type="http://schemas.openxmlformats.org/officeDocument/2006/relationships/sharedStrings" Target="/xl/sharedStrings.xml" Id="R7f4de4ad1d5d4f61" /><Relationship Type="http://schemas.openxmlformats.org/officeDocument/2006/relationships/worksheet" Target="/xl/worksheets/sheet1.xml" Id="R203a62d142fb47be" /><Relationship Type="http://schemas.openxmlformats.org/officeDocument/2006/relationships/worksheet" Target="/xl/worksheets/sheet2.xml" Id="R1fb9941cba964193" /><Relationship Type="http://schemas.openxmlformats.org/officeDocument/2006/relationships/worksheet" Target="/xl/worksheets/sheet3.xml" Id="R0e830dc4d2c1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7" hidden="0" customWidth="1"/>
    <x:col min="3" max="3" width="13" hidden="0" customWidth="1"/>
    <x:col min="4" max="4" width="13" hidden="0" customWidth="1"/>
  </x:cols>
  <x:sheetData>
    <x:row r="1" ht="30" customHeight="1">
      <x:c r="A1" s="4" t="str">
        <x:v>MarketLab | Simulation Inputs</x:v>
      </x:c>
      <x:c r="B1" s="4"/>
      <x:c r="C1" s="4"/>
      <x:c r="D1" s="4"/>
    </x:row>
    <x:row r="3">
      <x:c r="A3" s="16" t="str">
        <x:v>Starting capital (AUD)</x:v>
      </x:c>
      <x:c r="B3" s="19" t="n">
        <x:v>10000</x:v>
      </x:c>
    </x:row>
    <x:row r="4">
      <x:c r="A4" s="16" t="str">
        <x:v>Risk profile</x:v>
      </x:c>
      <x:c r="B4" s="19" t="str">
        <x:v>Balanced</x:v>
      </x:c>
    </x:row>
    <x:row r="5">
      <x:c r="A5" s="16" t="str">
        <x:v>Target risky exposure (%)</x:v>
      </x:c>
      <x:c r="B5" s="23" t="n">
        <x:f>IF(B4="Conservative",30,IF(B4="Growth",80,60))</x:f>
        <x:v>60</x:v>
      </x:c>
    </x:row>
    <x:row r="7" ht="30" customHeight="1">
      <x:c r="A7" s="11" t="str">
        <x:v>Asset</x:v>
      </x:c>
      <x:c r="B7" s="11" t="str">
        <x:v>Allocation (%)</x:v>
      </x:c>
    </x:row>
    <x:row r="8">
      <x:c r="A8" s="26" t="str">
        <x:v>Cash</x:v>
      </x:c>
      <x:c r="B8" s="19" t="n">
        <x:v>15</x:v>
      </x:c>
    </x:row>
    <x:row r="9">
      <x:c r="A9" s="26" t="str">
        <x:v>Bonds</x:v>
      </x:c>
      <x:c r="B9" s="19" t="n">
        <x:v>25</x:v>
      </x:c>
    </x:row>
    <x:row r="10">
      <x:c r="A10" s="26" t="str">
        <x:v>Broad market</x:v>
      </x:c>
      <x:c r="B10" s="19" t="n">
        <x:v>40</x:v>
      </x:c>
    </x:row>
    <x:row r="11">
      <x:c r="A11" s="26" t="str">
        <x:v>Technology</x:v>
      </x:c>
      <x:c r="B11" s="19" t="n">
        <x:v>20</x:v>
      </x:c>
    </x:row>
    <x:row r="12">
      <x:c r="A12" s="28" t="str">
        <x:v>Total allocation</x:v>
      </x:c>
      <x:c r="B12" s="28" t="n">
        <x:f>SUM(B8:B11)</x:f>
        <x:v>100</x:v>
      </x:c>
    </x:row>
    <x:row r="14" ht="28" customHeight="1">
      <x:c r="A14" s="32" t="str">
        <x:v>Edit the blue input cells. Allocations must total exactly 100%.</x:v>
      </x:c>
      <x:c r="B14" s="32"/>
      <x:c r="C14" s="32"/>
      <x:c r="D14" s="32"/>
    </x:row>
    <x:row r="16">
      <x:c r="A16" s="37" t="str">
        <x:v>Risk profile</x:v>
      </x:c>
      <x:c r="B16" s="37" t="str">
        <x:v>Target risky exposure (%)</x:v>
      </x:c>
    </x:row>
    <x:row r="17">
      <x:c r="A17" s="40" t="str">
        <x:v>Conservative</x:v>
      </x:c>
      <x:c r="B17" s="40" t="n">
        <x:v>30</x:v>
      </x:c>
    </x:row>
    <x:row r="18">
      <x:c r="A18" s="40" t="str">
        <x:v>Balanced</x:v>
      </x:c>
      <x:c r="B18" s="40" t="n">
        <x:v>60</x:v>
      </x:c>
    </x:row>
    <x:row r="19">
      <x:c r="A19" s="40" t="str">
        <x:v>Growth</x:v>
      </x:c>
      <x:c r="B19" s="40" t="n">
        <x:v>80</x:v>
      </x:c>
    </x:row>
  </x:sheetData>
  <x:mergeCells>
    <x:mergeCell ref="A1:D1"/>
    <x:mergeCell ref="A14:D14"/>
  </x:mergeCells>
  <x:dataValidations count="1">
    <x:dataValidation type="list" sqref="B4">
      <x:formula1>"Conservative,Balanced,Growth"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4" t="str">
        <x:v>MarketLab | Illustrative Scenario Assumptions</x:v>
      </x:c>
      <x:c r="B1" s="4"/>
      <x:c r="C1" s="4"/>
      <x:c r="D1" s="4"/>
      <x:c r="E1" s="4"/>
      <x:c r="F1" s="4"/>
    </x:row>
    <x:row r="3" ht="30" customHeight="1">
      <x:c r="A3" s="11" t="str">
        <x:v>Round</x:v>
      </x:c>
      <x:c r="B3" s="11" t="str">
        <x:v>Scenario</x:v>
      </x:c>
      <x:c r="C3" s="11" t="str">
        <x:v>Cash (%)</x:v>
      </x:c>
      <x:c r="D3" s="11" t="str">
        <x:v>Bonds (%)</x:v>
      </x:c>
      <x:c r="E3" s="11" t="str">
        <x:v>Broad market (%)</x:v>
      </x:c>
      <x:c r="F3" s="11" t="str">
        <x:v>Technology (%)</x:v>
      </x:c>
    </x:row>
    <x:row r="4">
      <x:c r="A4" s="26" t="n">
        <x:v>1</x:v>
      </x:c>
      <x:c r="B4" s="26" t="str">
        <x:v>A steady start</x:v>
      </x:c>
      <x:c r="C4" s="42" t="n">
        <x:v>2</x:v>
      </x:c>
      <x:c r="D4" s="42" t="n">
        <x:v>4</x:v>
      </x:c>
      <x:c r="E4" s="42" t="n">
        <x:v>8</x:v>
      </x:c>
      <x:c r="F4" s="42" t="n">
        <x:v>15</x:v>
      </x:c>
    </x:row>
    <x:row r="5">
      <x:c r="A5" s="26" t="n">
        <x:v>2</x:v>
      </x:c>
      <x:c r="B5" s="26" t="str">
        <x:v>A sudden sell-off</x:v>
      </x:c>
      <x:c r="C5" s="42" t="n">
        <x:v>2</x:v>
      </x:c>
      <x:c r="D5" s="42" t="n">
        <x:v>-1</x:v>
      </x:c>
      <x:c r="E5" s="42" t="n">
        <x:v>-14</x:v>
      </x:c>
      <x:c r="F5" s="42" t="n">
        <x:v>-28</x:v>
      </x:c>
    </x:row>
    <x:row r="6">
      <x:c r="A6" s="26" t="n">
        <x:v>3</x:v>
      </x:c>
      <x:c r="B6" s="26" t="str">
        <x:v>Recovery takes hold</x:v>
      </x:c>
      <x:c r="C6" s="42" t="n">
        <x:v>2</x:v>
      </x:c>
      <x:c r="D6" s="42" t="n">
        <x:v>4</x:v>
      </x:c>
      <x:c r="E6" s="42" t="n">
        <x:v>12</x:v>
      </x:c>
      <x:c r="F6" s="42" t="n">
        <x:v>22</x:v>
      </x:c>
    </x:row>
    <x:row r="7">
      <x:c r="A7" s="26" t="n">
        <x:v>4</x:v>
      </x:c>
      <x:c r="B7" s="26" t="str">
        <x:v>Inflation pressures</x:v>
      </x:c>
      <x:c r="C7" s="42" t="n">
        <x:v>3</x:v>
      </x:c>
      <x:c r="D7" s="42" t="n">
        <x:v>1</x:v>
      </x:c>
      <x:c r="E7" s="42" t="n">
        <x:v>-4</x:v>
      </x:c>
      <x:c r="F7" s="42" t="n">
        <x:v>-9</x:v>
      </x:c>
    </x:row>
    <x:row r="8">
      <x:c r="A8" s="26" t="n">
        <x:v>5</x:v>
      </x:c>
      <x:c r="B8" s="26" t="str">
        <x:v>A stronger expansion</x:v>
      </x:c>
      <x:c r="C8" s="42" t="n">
        <x:v>2</x:v>
      </x:c>
      <x:c r="D8" s="42" t="n">
        <x:v>3</x:v>
      </x:c>
      <x:c r="E8" s="42" t="n">
        <x:v>9</x:v>
      </x:c>
      <x:c r="F8" s="42" t="n">
        <x:v>16</x:v>
      </x:c>
    </x:row>
    <x:row r="10" ht="28" customHeight="1">
      <x:c r="A10" s="32" t="str">
        <x:v>All return assumptions are invented for demonstration and are not market forecasts or financial advice.</x:v>
      </x:c>
      <x:c r="B10" s="32"/>
      <x:c r="C10" s="32"/>
      <x:c r="D10" s="32"/>
      <x:c r="E10" s="32"/>
      <x:c r="F10" s="32"/>
    </x:row>
    <x:row r="11" ht="28" customHeight="1">
      <x:c r="A11" s="32"/>
      <x:c r="B11" s="32"/>
      <x:c r="C11" s="32"/>
      <x:c r="D11" s="32"/>
      <x:c r="E11" s="32"/>
      <x:c r="F11" s="32"/>
    </x:row>
  </x:sheetData>
  <x:mergeCells>
    <x:mergeCell ref="A1:F1"/>
    <x:mergeCell ref="A10:F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7" hidden="0" customWidth="1"/>
    <x:col min="4" max="4" width="19" hidden="0" customWidth="1"/>
    <x:col min="5" max="5" width="19" hidden="0" customWidth="1"/>
    <x:col min="6" max="6" width="19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4" t="str">
        <x:v>MarketLab | Formula-Driven Reference Model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0" customHeight="1">
      <x:c r="A3" s="11" t="str">
        <x:v>Round</x:v>
      </x:c>
      <x:c r="B3" s="11" t="str">
        <x:v>Scenario</x:v>
      </x:c>
      <x:c r="C3" s="11" t="str">
        <x:v>Portfolio return</x:v>
      </x:c>
      <x:c r="D3" s="11" t="str">
        <x:v>Starting capital</x:v>
      </x:c>
      <x:c r="E3" s="11" t="str">
        <x:v>Change (AUD)</x:v>
      </x:c>
      <x:c r="F3" s="11" t="str">
        <x:v>Ending capital</x:v>
      </x:c>
      <x:c r="G3" s="11" t="str">
        <x:v>Diversification score</x:v>
      </x:c>
      <x:c r="H3" s="11" t="str">
        <x:v>Risk-fit score</x:v>
      </x:c>
      <x:c r="I3" s="11" t="str">
        <x:v>Return score</x:v>
      </x:c>
      <x:c r="J3" s="11" t="str">
        <x:v>Decision score</x:v>
      </x:c>
    </x:row>
    <x:row r="4">
      <x:c r="A4" s="26" t="n">
        <x:f>Scenarios!A4</x:f>
        <x:v>1</x:v>
      </x:c>
      <x:c r="B4" s="26" t="str">
        <x:f>Scenarios!B4</x:f>
        <x:v>A steady start</x:v>
      </x:c>
      <x:c r="C4" s="44" t="n">
        <x:f>(Inputs!$B$8*Scenarios!C4+Inputs!$B$9*Scenarios!D4+Inputs!$B$10*Scenarios!E4+Inputs!$B$11*Scenarios!F4)/10000</x:f>
        <x:v>0.075</x:v>
      </x:c>
      <x:c r="D4" s="46" t="n">
        <x:f>Inputs!$B$3</x:f>
        <x:v>10000</x:v>
      </x:c>
      <x:c r="E4" s="46" t="n">
        <x:f>D4*C4</x:f>
        <x:v>750</x:v>
      </x:c>
      <x:c r="F4" s="46" t="n">
        <x:f>D4+E4</x:f>
        <x:v>10750</x:v>
      </x:c>
      <x:c r="G4" s="48" t="n">
        <x:f>ROUND((1-((Inputs!$B$8/100)^2+(Inputs!$B$9/100)^2+(Inputs!$B$10/100)^2+(Inputs!$B$11/100)^2))/(1-1/4)*100,0)</x:f>
        <x:v>95</x:v>
      </x:c>
      <x:c r="H4" s="48" t="n">
        <x:f>MAX(0,ROUND(100-ABS(Inputs!$B$10+Inputs!$B$11-Inputs!$B$5)*1.25,0))</x:f>
        <x:v>100</x:v>
      </x:c>
      <x:c r="I4" s="48" t="n">
        <x:f>MAX(0,MIN(100,50+C4*250))</x:f>
        <x:v>68.75</x:v>
      </x:c>
      <x:c r="J4" s="48" t="n">
        <x:f>ROUND(0.5*I4+0.2*G4+0.3*H4,0)</x:f>
        <x:v>83</x:v>
      </x:c>
    </x:row>
    <x:row r="5">
      <x:c r="A5" s="26" t="n">
        <x:f>Scenarios!A5</x:f>
        <x:v>2</x:v>
      </x:c>
      <x:c r="B5" s="26" t="str">
        <x:f>Scenarios!B5</x:f>
        <x:v>A sudden sell-off</x:v>
      </x:c>
      <x:c r="C5" s="44" t="n">
        <x:f>(Inputs!$B$8*Scenarios!C5+Inputs!$B$9*Scenarios!D5+Inputs!$B$10*Scenarios!E5+Inputs!$B$11*Scenarios!F5)/10000</x:f>
        <x:v>-0.1115</x:v>
      </x:c>
      <x:c r="D5" s="46" t="n">
        <x:f>F4</x:f>
        <x:v>10750</x:v>
      </x:c>
      <x:c r="E5" s="46" t="n">
        <x:f>D5*C5</x:f>
        <x:v>-1198.625</x:v>
      </x:c>
      <x:c r="F5" s="46" t="n">
        <x:f>D5+E5</x:f>
        <x:v>9551.375</x:v>
      </x:c>
      <x:c r="G5" s="48" t="n">
        <x:f>ROUND((1-((Inputs!$B$8/100)^2+(Inputs!$B$9/100)^2+(Inputs!$B$10/100)^2+(Inputs!$B$11/100)^2))/(1-1/4)*100,0)</x:f>
        <x:v>95</x:v>
      </x:c>
      <x:c r="H5" s="48" t="n">
        <x:f>MAX(0,ROUND(100-ABS(Inputs!$B$10+Inputs!$B$11-Inputs!$B$5)*1.25,0))</x:f>
        <x:v>100</x:v>
      </x:c>
      <x:c r="I5" s="48" t="n">
        <x:f>MAX(0,MIN(100,50+C5*250))</x:f>
        <x:v>22.125</x:v>
      </x:c>
      <x:c r="J5" s="48" t="n">
        <x:f>ROUND(0.5*I5+0.2*G5+0.3*H5,0)</x:f>
        <x:v>60</x:v>
      </x:c>
    </x:row>
    <x:row r="6">
      <x:c r="A6" s="26" t="n">
        <x:f>Scenarios!A6</x:f>
        <x:v>3</x:v>
      </x:c>
      <x:c r="B6" s="26" t="str">
        <x:f>Scenarios!B6</x:f>
        <x:v>Recovery takes hold</x:v>
      </x:c>
      <x:c r="C6" s="44" t="n">
        <x:f>(Inputs!$B$8*Scenarios!C6+Inputs!$B$9*Scenarios!D6+Inputs!$B$10*Scenarios!E6+Inputs!$B$11*Scenarios!F6)/10000</x:f>
        <x:v>0.105</x:v>
      </x:c>
      <x:c r="D6" s="46" t="n">
        <x:f>F5</x:f>
        <x:v>9551.375</x:v>
      </x:c>
      <x:c r="E6" s="46" t="n">
        <x:f>D6*C6</x:f>
        <x:v>1002.894375</x:v>
      </x:c>
      <x:c r="F6" s="46" t="n">
        <x:f>D6+E6</x:f>
        <x:v>10554.269375</x:v>
      </x:c>
      <x:c r="G6" s="48" t="n">
        <x:f>ROUND((1-((Inputs!$B$8/100)^2+(Inputs!$B$9/100)^2+(Inputs!$B$10/100)^2+(Inputs!$B$11/100)^2))/(1-1/4)*100,0)</x:f>
        <x:v>95</x:v>
      </x:c>
      <x:c r="H6" s="48" t="n">
        <x:f>MAX(0,ROUND(100-ABS(Inputs!$B$10+Inputs!$B$11-Inputs!$B$5)*1.25,0))</x:f>
        <x:v>100</x:v>
      </x:c>
      <x:c r="I6" s="48" t="n">
        <x:f>MAX(0,MIN(100,50+C6*250))</x:f>
        <x:v>76.25</x:v>
      </x:c>
      <x:c r="J6" s="48" t="n">
        <x:f>ROUND(0.5*I6+0.2*G6+0.3*H6,0)</x:f>
        <x:v>87</x:v>
      </x:c>
    </x:row>
    <x:row r="7">
      <x:c r="A7" s="26" t="n">
        <x:f>Scenarios!A7</x:f>
        <x:v>4</x:v>
      </x:c>
      <x:c r="B7" s="26" t="str">
        <x:f>Scenarios!B7</x:f>
        <x:v>Inflation pressures</x:v>
      </x:c>
      <x:c r="C7" s="44" t="n">
        <x:f>(Inputs!$B$8*Scenarios!C7+Inputs!$B$9*Scenarios!D7+Inputs!$B$10*Scenarios!E7+Inputs!$B$11*Scenarios!F7)/10000</x:f>
        <x:v>-0.027</x:v>
      </x:c>
      <x:c r="D7" s="46" t="n">
        <x:f>F6</x:f>
        <x:v>10554.269375</x:v>
      </x:c>
      <x:c r="E7" s="46" t="n">
        <x:f>D7*C7</x:f>
        <x:v>-284.965273125</x:v>
      </x:c>
      <x:c r="F7" s="46" t="n">
        <x:f>D7+E7</x:f>
        <x:v>10269.304101875</x:v>
      </x:c>
      <x:c r="G7" s="48" t="n">
        <x:f>ROUND((1-((Inputs!$B$8/100)^2+(Inputs!$B$9/100)^2+(Inputs!$B$10/100)^2+(Inputs!$B$11/100)^2))/(1-1/4)*100,0)</x:f>
        <x:v>95</x:v>
      </x:c>
      <x:c r="H7" s="48" t="n">
        <x:f>MAX(0,ROUND(100-ABS(Inputs!$B$10+Inputs!$B$11-Inputs!$B$5)*1.25,0))</x:f>
        <x:v>100</x:v>
      </x:c>
      <x:c r="I7" s="48" t="n">
        <x:f>MAX(0,MIN(100,50+C7*250))</x:f>
        <x:v>43.25</x:v>
      </x:c>
      <x:c r="J7" s="48" t="n">
        <x:f>ROUND(0.5*I7+0.2*G7+0.3*H7,0)</x:f>
        <x:v>71</x:v>
      </x:c>
    </x:row>
    <x:row r="8">
      <x:c r="A8" s="26" t="n">
        <x:f>Scenarios!A8</x:f>
        <x:v>5</x:v>
      </x:c>
      <x:c r="B8" s="26" t="str">
        <x:f>Scenarios!B8</x:f>
        <x:v>A stronger expansion</x:v>
      </x:c>
      <x:c r="C8" s="44" t="n">
        <x:f>(Inputs!$B$8*Scenarios!C8+Inputs!$B$9*Scenarios!D8+Inputs!$B$10*Scenarios!E8+Inputs!$B$11*Scenarios!F8)/10000</x:f>
        <x:v>0.0785</x:v>
      </x:c>
      <x:c r="D8" s="46" t="n">
        <x:f>F7</x:f>
        <x:v>10269.304101875</x:v>
      </x:c>
      <x:c r="E8" s="46" t="n">
        <x:f>D8*C8</x:f>
        <x:v>806.1403719971875</x:v>
      </x:c>
      <x:c r="F8" s="46" t="n">
        <x:f>D8+E8</x:f>
        <x:v>11075.444473872187</x:v>
      </x:c>
      <x:c r="G8" s="48" t="n">
        <x:f>ROUND((1-((Inputs!$B$8/100)^2+(Inputs!$B$9/100)^2+(Inputs!$B$10/100)^2+(Inputs!$B$11/100)^2))/(1-1/4)*100,0)</x:f>
        <x:v>95</x:v>
      </x:c>
      <x:c r="H8" s="48" t="n">
        <x:f>MAX(0,ROUND(100-ABS(Inputs!$B$10+Inputs!$B$11-Inputs!$B$5)*1.25,0))</x:f>
        <x:v>100</x:v>
      </x:c>
      <x:c r="I8" s="48" t="n">
        <x:f>MAX(0,MIN(100,50+C8*250))</x:f>
        <x:v>69.625</x:v>
      </x:c>
      <x:c r="J8" s="48" t="n">
        <x:f>ROUND(0.5*I8+0.2*G8+0.3*H8,0)</x:f>
        <x:v>84</x:v>
      </x:c>
    </x:row>
    <x:row r="10">
      <x:c r="A10" s="36" t="str">
        <x:v>Reference check</x:v>
      </x:c>
      <x:c r="B10" s="36" t="str">
        <x:v>Expected value</x:v>
      </x:c>
    </x:row>
    <x:row r="11">
      <x:c r="A11" s="23" t="str">
        <x:v>Round 1 return</x:v>
      </x:c>
      <x:c r="B11" s="23" t="str">
        <x:v>7.50%</x:v>
      </x:c>
    </x:row>
    <x:row r="12">
      <x:c r="A12" s="23" t="str">
        <x:v>Round 1 ending capital</x:v>
      </x:c>
      <x:c r="B12" s="23" t="str">
        <x:v>AUD 10,750.00</x:v>
      </x:c>
    </x:row>
  </x:sheetData>
  <x:mergeCells>
    <x:mergeCell ref="A1:J1"/>
  </x:mergeCells>
  <x:pageMargins left="0.7" right="0.7" top="0.75" bottom="0.75" header="0.3" footer="0.3"/>
</x:worksheet>
</file>